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_TIÊ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&quot;đ&quot;"/>
  </numFmts>
  <fonts count="8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</font>
    <font>
      <b val="1"/>
      <i val="1"/>
    </font>
    <font>
      <i val="1"/>
      <color rgb="00666666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C85A54"/>
        <bgColor rgb="00C85A5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0" fillId="4" borderId="1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Nội dung chi</t>
        </is>
      </c>
      <c r="B1" s="1" t="inlineStr">
        <is>
          <t>Số tiền chi</t>
        </is>
      </c>
      <c r="C1" s="1" t="inlineStr">
        <is>
          <t>Người chi</t>
        </is>
      </c>
      <c r="D1" s="1" t="inlineStr">
        <is>
          <t>Bình</t>
        </is>
      </c>
      <c r="E1" s="1" t="inlineStr">
        <is>
          <t>Nhi</t>
        </is>
      </c>
      <c r="F1" s="1" t="inlineStr">
        <is>
          <t>Tân</t>
        </is>
      </c>
      <c r="G1" s="1" t="inlineStr">
        <is>
          <t>Thuận</t>
        </is>
      </c>
      <c r="H1" s="1" t="inlineStr">
        <is>
          <t>Triển</t>
        </is>
      </c>
      <c r="I1" s="1" t="inlineStr">
        <is>
          <t>Thế Anh</t>
        </is>
      </c>
      <c r="J1" s="1" t="inlineStr">
        <is>
          <t>Vy</t>
        </is>
      </c>
      <c r="K1" s="1" t="inlineStr">
        <is>
          <t>Count</t>
        </is>
      </c>
      <c r="L1" s="1" t="inlineStr">
        <is>
          <t>Share</t>
        </is>
      </c>
    </row>
    <row r="2">
      <c r="A2" s="2" t="inlineStr">
        <is>
          <t>--- CÔNG THỨC ---</t>
        </is>
      </c>
      <c r="K2" s="3">
        <f>COUNTIF(D2:J2,TRUE)</f>
        <v/>
      </c>
      <c r="L2" s="4">
        <f>(B2-SUMIF(D2:J2,"&gt;0"))/MAX(1,K2)</f>
        <v/>
      </c>
    </row>
    <row r="3">
      <c r="A3" s="5" t="inlineStr">
        <is>
          <t>Đặt homestay đêm ngày 9 (Chill house)</t>
        </is>
      </c>
      <c r="B3" s="5" t="n">
        <v>1800000</v>
      </c>
      <c r="C3" s="5" t="inlineStr">
        <is>
          <t>Vy</t>
        </is>
      </c>
      <c r="D3" s="5" t="b">
        <v>0</v>
      </c>
      <c r="E3" s="5" t="b">
        <v>1</v>
      </c>
      <c r="F3" s="5" t="b">
        <v>1</v>
      </c>
      <c r="G3" s="5" t="b">
        <v>1</v>
      </c>
      <c r="H3" s="5" t="b">
        <v>1</v>
      </c>
      <c r="I3" s="5" t="b">
        <v>1</v>
      </c>
      <c r="J3" s="5" t="b">
        <v>1</v>
      </c>
      <c r="K3" s="5">
        <f>COUNTIF(D3:J3,TRUE)</f>
        <v/>
      </c>
      <c r="L3" s="6">
        <f>(B3-SUMIF(D3:J3,"&gt;0"))/MAX(1,K3)</f>
        <v/>
      </c>
    </row>
    <row r="4">
      <c r="A4" s="5" t="inlineStr">
        <is>
          <t>Đặt homestay đêm ngày 10 (Mimosa)</t>
        </is>
      </c>
      <c r="B4" s="5" t="n">
        <v>2400000</v>
      </c>
      <c r="C4" s="5" t="inlineStr">
        <is>
          <t>Vy</t>
        </is>
      </c>
      <c r="D4" s="5" t="b">
        <v>1</v>
      </c>
      <c r="E4" s="5" t="b">
        <v>1</v>
      </c>
      <c r="F4" s="5" t="b">
        <v>1</v>
      </c>
      <c r="G4" s="5" t="b">
        <v>1</v>
      </c>
      <c r="H4" s="5" t="b">
        <v>1</v>
      </c>
      <c r="I4" s="5" t="b">
        <v>1</v>
      </c>
      <c r="J4" s="5" t="b">
        <v>1</v>
      </c>
      <c r="K4" s="5">
        <f>COUNTIF(D4:J4,TRUE)</f>
        <v/>
      </c>
      <c r="L4" s="6">
        <f>(B4-SUMIF(D4:J4,"&gt;0"))/MAX(1,K4)</f>
        <v/>
      </c>
    </row>
    <row r="5">
      <c r="A5" s="5" t="inlineStr">
        <is>
          <t>Đặt homestay đêm ngày 11 (Zenith)</t>
        </is>
      </c>
      <c r="B5" s="5" t="n">
        <v>1940895</v>
      </c>
      <c r="C5" s="5" t="inlineStr">
        <is>
          <t>Thuận</t>
        </is>
      </c>
      <c r="D5" s="5" t="b">
        <v>1</v>
      </c>
      <c r="E5" s="5" t="b">
        <v>1</v>
      </c>
      <c r="F5" s="5" t="b">
        <v>1</v>
      </c>
      <c r="G5" s="5" t="b">
        <v>1</v>
      </c>
      <c r="H5" s="5" t="b">
        <v>1</v>
      </c>
      <c r="I5" s="5" t="b">
        <v>1</v>
      </c>
      <c r="J5" s="5" t="b">
        <v>1</v>
      </c>
      <c r="K5" s="5">
        <f>COUNTIF(D5:J5,TRUE)</f>
        <v/>
      </c>
      <c r="L5" s="6">
        <f>(B5-SUMIF(D5:J5,"&gt;0"))/MAX(1,K5)</f>
        <v/>
      </c>
    </row>
    <row r="6">
      <c r="A6" s="5" t="inlineStr"/>
      <c r="B6" s="5" t="n">
        <v>0</v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</row>
    <row r="7">
      <c r="A7" s="7" t="inlineStr">
        <is>
          <t>📝 Ví dụ: Custom split</t>
        </is>
      </c>
      <c r="B7" s="5" t="n">
        <v>1000000</v>
      </c>
      <c r="C7" s="5" t="inlineStr">
        <is>
          <t>Vy</t>
        </is>
      </c>
      <c r="D7" s="5" t="n">
        <v>300000</v>
      </c>
      <c r="E7" s="5" t="n">
        <v>200000</v>
      </c>
      <c r="F7" s="5" t="b">
        <v>1</v>
      </c>
      <c r="G7" s="5" t="b">
        <v>1</v>
      </c>
      <c r="H7" s="5" t="b">
        <v>1</v>
      </c>
      <c r="I7" s="5" t="b">
        <v>0</v>
      </c>
      <c r="J7" s="5" t="b">
        <v>0</v>
      </c>
      <c r="K7" s="5">
        <f>COUNTIF(D7:J7,TRUE)</f>
        <v/>
      </c>
      <c r="L7" s="8">
        <f>(B7-SUMIF(D7:J7,"&gt;0"))/MAX(1,K7)</f>
        <v/>
      </c>
    </row>
    <row r="8">
      <c r="A8" s="9" t="inlineStr">
        <is>
          <t>💡 Giải thích: 1M - 300k - 200k = 500k, chia 3 người = 166,667đ/người</t>
        </is>
      </c>
    </row>
    <row r="10">
      <c r="A10" t="inlineStr"/>
    </row>
    <row r="12">
      <c r="A12" s="10" t="inlineStr">
        <is>
          <t>📊 TỔNG KẾT</t>
        </is>
      </c>
    </row>
    <row r="13">
      <c r="A13" s="11" t="inlineStr">
        <is>
          <t>Thành viên</t>
        </is>
      </c>
      <c r="B13" s="11" t="inlineStr">
        <is>
          <t>Đã chi/ứng</t>
        </is>
      </c>
      <c r="C13" s="11" t="inlineStr">
        <is>
          <t>Phải trả (share)</t>
        </is>
      </c>
      <c r="D13" s="11" t="inlineStr">
        <is>
          <t>NET</t>
        </is>
      </c>
      <c r="E13" s="11" t="inlineStr">
        <is>
          <t>Trạng thái</t>
        </is>
      </c>
    </row>
    <row r="14">
      <c r="A14" t="inlineStr">
        <is>
          <t>Bình</t>
        </is>
      </c>
      <c r="B14" s="12">
        <f>SUMIF(C:C,"Bình",B:B)</f>
        <v/>
      </c>
      <c r="C14" s="12">
        <f>SUMIF(D:D,"&gt;0")</f>
        <v/>
      </c>
      <c r="D14" s="12">
        <f>B14-C14</f>
        <v/>
      </c>
      <c r="E14" s="13">
        <f>IF(D14&gt;0,"✅ Quỹ nợ "&amp;TEXT(D14,"#,##")&amp;"đ",IF(D14&lt;0,"❌ Đang nợ "&amp;TEXT(ABS(D14),"#,##")&amp;"đ","⚪ Cân bằng"))</f>
        <v/>
      </c>
    </row>
    <row r="15">
      <c r="A15" t="inlineStr">
        <is>
          <t>Nhi</t>
        </is>
      </c>
      <c r="B15" s="12">
        <f>SUMIF(C:C,"Nhi",B:B)</f>
        <v/>
      </c>
      <c r="C15" s="12">
        <f>SUMIF(E:E,"&gt;0")</f>
        <v/>
      </c>
      <c r="D15" s="12">
        <f>B15-C15</f>
        <v/>
      </c>
      <c r="E15" s="13">
        <f>IF(D15&gt;0,"✅ Quỹ nợ "&amp;TEXT(D15,"#,##")&amp;"đ",IF(D15&lt;0,"❌ Đang nợ "&amp;TEXT(ABS(D15),"#,##")&amp;"đ","⚪ Cân bằng"))</f>
        <v/>
      </c>
    </row>
    <row r="16">
      <c r="A16" t="inlineStr"/>
      <c r="B16" s="12">
        <f>SUMIF(C:C,"Tân",B:B)</f>
        <v/>
      </c>
      <c r="C16" s="12">
        <f>SUMIF(F:F,"&gt;0")</f>
        <v/>
      </c>
      <c r="D16" s="12">
        <f>B16-C16</f>
        <v/>
      </c>
      <c r="E16" s="13">
        <f>IF(D16&gt;0,"✅ Quỹ nợ "&amp;TEXT(D16,"#,##")&amp;"đ",IF(D16&lt;0,"❌ Đang nợ "&amp;TEXT(ABS(D16),"#,##")&amp;"đ","⚪ Cân bằng"))</f>
        <v/>
      </c>
    </row>
    <row r="17">
      <c r="A17" s="14" t="inlineStr">
        <is>
          <t>💰 TỔNG QUỸ</t>
        </is>
      </c>
      <c r="B17" s="12">
        <f>SUMIF(C:C,"Thuận",B:B)</f>
        <v/>
      </c>
      <c r="C17" s="12">
        <f>SUMIF(G:G,"&gt;0")</f>
        <v/>
      </c>
      <c r="D17" s="12">
        <f>B17-C17</f>
        <v/>
      </c>
      <c r="E17" s="13">
        <f>IF(D17&gt;0,"✅ Quỹ nợ "&amp;TEXT(D17,"#,##")&amp;"đ",IF(D17&lt;0,"❌ Đang nợ "&amp;TEXT(ABS(D17),"#,##")&amp;"đ","⚪ Cân bằng"))</f>
        <v/>
      </c>
    </row>
    <row r="18">
      <c r="A18" t="inlineStr">
        <is>
          <t>Tổng đã chi:</t>
        </is>
      </c>
      <c r="B18" s="15">
        <f>SUM(B:B)</f>
        <v/>
      </c>
      <c r="C18" s="12">
        <f>SUMIF(H:H,"&gt;0")</f>
        <v/>
      </c>
      <c r="D18" s="12">
        <f>B18-C18</f>
        <v/>
      </c>
      <c r="E18" s="13">
        <f>IF(D18&gt;0,"✅ Quỹ nợ "&amp;TEXT(D18,"#,##")&amp;"đ",IF(D18&lt;0,"❌ Đang nợ "&amp;TEXT(ABS(D18),"#,##")&amp;"đ","⚪ Cân bằng"))</f>
        <v/>
      </c>
    </row>
    <row r="19">
      <c r="A19" t="inlineStr">
        <is>
          <t>Thế Anh</t>
        </is>
      </c>
      <c r="B19" s="12">
        <f>SUMIF(C:C,"Thế Anh",B:B)</f>
        <v/>
      </c>
      <c r="C19" s="12">
        <f>SUMIF(I:I,"&gt;0")</f>
        <v/>
      </c>
      <c r="D19" s="12">
        <f>B19-C19</f>
        <v/>
      </c>
      <c r="E19" s="13">
        <f>IF(D19&gt;0,"✅ Quỹ nợ "&amp;TEXT(D19,"#,##")&amp;"đ",IF(D19&lt;0,"❌ Đang nợ "&amp;TEXT(ABS(D19),"#,##")&amp;"đ","⚪ Cân bằng"))</f>
        <v/>
      </c>
    </row>
    <row r="20">
      <c r="A20" t="inlineStr">
        <is>
          <t>Vy</t>
        </is>
      </c>
      <c r="B20" s="12">
        <f>SUMIF(C:C,"Vy",B:B)</f>
        <v/>
      </c>
      <c r="C20" s="12">
        <f>SUMIF(J:J,"&gt;0")</f>
        <v/>
      </c>
      <c r="D20" s="12">
        <f>B20-C20</f>
        <v/>
      </c>
      <c r="E20" s="13">
        <f>IF(D20&gt;0,"✅ Quỹ nợ "&amp;TEXT(D20,"#,##")&amp;"đ",IF(D20&lt;0,"❌ Đang nợ "&amp;TEXT(ABS(D20),"#,##")&amp;"đ","⚪ Cân bằng"))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2026-04-08T02:55:33Z</dcterms:created>
  <dcterms:modified xsi:type="dcterms:W3CDTF">2026-04-08T02:55:33Z</dcterms:modified>
</cp:coreProperties>
</file>